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liugongla-my.sharepoint.com/personal/hgiordano_liugongla_com/Documents/Documentos/"/>
    </mc:Choice>
  </mc:AlternateContent>
  <xr:revisionPtr revIDLastSave="0" documentId="8_{457D3D07-B387-4778-80C0-0E1EF1A02E62}" xr6:coauthVersionLast="47" xr6:coauthVersionMax="47" xr10:uidLastSave="{00000000-0000-0000-0000-000000000000}"/>
  <bookViews>
    <workbookView xWindow="-120" yWindow="-120" windowWidth="20730" windowHeight="11040" activeTab="1" xr2:uid="{9E7A380E-A063-4255-BF20-76FC0B258A09}"/>
  </bookViews>
  <sheets>
    <sheet name="Inicial" sheetId="1" r:id="rId1"/>
    <sheet name="Base de calculo" sheetId="2" r:id="rId2"/>
    <sheet name="CEQUIP" sheetId="3" r:id="rId3"/>
    <sheet name="DAMAQ" sheetId="4" r:id="rId4"/>
    <sheet name="JUMASA" sheetId="5" r:id="rId5"/>
    <sheet name="JUMASA NORTE" sheetId="15" r:id="rId6"/>
    <sheet name="MEVOS" sheetId="6" r:id="rId7"/>
    <sheet name="MPM" sheetId="7" r:id="rId8"/>
    <sheet name="NORDESTE" sheetId="8" r:id="rId9"/>
    <sheet name="PRIORI" sheetId="9" r:id="rId10"/>
    <sheet name="RR" sheetId="10" r:id="rId11"/>
    <sheet name="SARANDI" sheetId="11" r:id="rId12"/>
    <sheet name="SERPEMA" sheetId="12" r:id="rId13"/>
    <sheet name="TRACSUL" sheetId="13" r:id="rId14"/>
    <sheet name="TRACTORBEL" sheetId="14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3" i="10" s="1"/>
  <c r="D3" i="2"/>
  <c r="E3" i="2"/>
  <c r="G3" i="10" s="1"/>
  <c r="C4" i="2"/>
  <c r="D4" i="2"/>
  <c r="E4" i="2"/>
  <c r="G4" i="12" s="1"/>
  <c r="C5" i="2"/>
  <c r="C5" i="6" s="1"/>
  <c r="D5" i="2"/>
  <c r="E5" i="2"/>
  <c r="G5" i="14" s="1"/>
  <c r="C6" i="2"/>
  <c r="C6" i="6" s="1"/>
  <c r="D6" i="2"/>
  <c r="E6" i="11" s="1"/>
  <c r="E6" i="2"/>
  <c r="G6" i="8" s="1"/>
  <c r="C7" i="2"/>
  <c r="C7" i="7" s="1"/>
  <c r="D7" i="2"/>
  <c r="E7" i="2"/>
  <c r="G7" i="7" s="1"/>
  <c r="C8" i="2"/>
  <c r="D8" i="2"/>
  <c r="E8" i="2"/>
  <c r="G8" i="9" s="1"/>
  <c r="C9" i="2"/>
  <c r="C9" i="5" s="1"/>
  <c r="D9" i="2"/>
  <c r="E9" i="2"/>
  <c r="G9" i="6" s="1"/>
  <c r="C10" i="2"/>
  <c r="C10" i="6" s="1"/>
  <c r="D10" i="2"/>
  <c r="E10" i="14" s="1"/>
  <c r="E10" i="2"/>
  <c r="G10" i="11" s="1"/>
  <c r="C11" i="2"/>
  <c r="C11" i="13" s="1"/>
  <c r="D11" i="2"/>
  <c r="E11" i="2"/>
  <c r="G11" i="15" s="1"/>
  <c r="C12" i="2"/>
  <c r="D12" i="2"/>
  <c r="E12" i="2"/>
  <c r="G12" i="10" s="1"/>
  <c r="C13" i="2"/>
  <c r="C13" i="12" s="1"/>
  <c r="D13" i="2"/>
  <c r="E13" i="2"/>
  <c r="G13" i="12" s="1"/>
  <c r="C14" i="2"/>
  <c r="C14" i="11" s="1"/>
  <c r="D14" i="2"/>
  <c r="E14" i="9" s="1"/>
  <c r="E14" i="2"/>
  <c r="G14" i="6" s="1"/>
  <c r="C15" i="2"/>
  <c r="C15" i="13" s="1"/>
  <c r="D15" i="2"/>
  <c r="E15" i="2"/>
  <c r="G15" i="13" s="1"/>
  <c r="C16" i="2"/>
  <c r="D16" i="2"/>
  <c r="E16" i="2"/>
  <c r="G16" i="15" s="1"/>
  <c r="C17" i="2"/>
  <c r="C17" i="10" s="1"/>
  <c r="D17" i="2"/>
  <c r="E17" i="2"/>
  <c r="G17" i="12" s="1"/>
  <c r="C18" i="2"/>
  <c r="C18" i="14" s="1"/>
  <c r="D18" i="2"/>
  <c r="E18" i="12" s="1"/>
  <c r="E18" i="2"/>
  <c r="G18" i="9" s="1"/>
  <c r="C19" i="2"/>
  <c r="C19" i="13" s="1"/>
  <c r="D19" i="2"/>
  <c r="E19" i="2"/>
  <c r="G19" i="13" s="1"/>
  <c r="C20" i="2"/>
  <c r="D20" i="2"/>
  <c r="E20" i="2"/>
  <c r="G20" i="13" s="1"/>
  <c r="C21" i="2"/>
  <c r="C21" i="10" s="1"/>
  <c r="D21" i="2"/>
  <c r="E21" i="11" s="1"/>
  <c r="E21" i="2"/>
  <c r="G21" i="15" s="1"/>
  <c r="C22" i="2"/>
  <c r="C22" i="15" s="1"/>
  <c r="D22" i="2"/>
  <c r="E22" i="10" s="1"/>
  <c r="E22" i="2"/>
  <c r="G22" i="12" s="1"/>
  <c r="E2" i="2"/>
  <c r="D2" i="2"/>
  <c r="E20" i="15"/>
  <c r="C20" i="5"/>
  <c r="C2" i="2"/>
  <c r="C2" i="15" s="1"/>
  <c r="E21" i="9"/>
  <c r="E20" i="13"/>
  <c r="C20" i="8"/>
  <c r="C8" i="8"/>
  <c r="C12" i="8"/>
  <c r="C22" i="9"/>
  <c r="E22" i="15"/>
  <c r="E19" i="15"/>
  <c r="C19" i="15"/>
  <c r="G17" i="15"/>
  <c r="E17" i="15"/>
  <c r="C17" i="15"/>
  <c r="E16" i="15"/>
  <c r="C16" i="15"/>
  <c r="E15" i="15"/>
  <c r="C15" i="15"/>
  <c r="G13" i="15"/>
  <c r="E13" i="15"/>
  <c r="G12" i="15"/>
  <c r="E12" i="15"/>
  <c r="C12" i="15"/>
  <c r="E11" i="15"/>
  <c r="E9" i="15"/>
  <c r="G8" i="15"/>
  <c r="E8" i="15"/>
  <c r="C8" i="15"/>
  <c r="G7" i="15"/>
  <c r="E7" i="15"/>
  <c r="C7" i="15"/>
  <c r="G5" i="15"/>
  <c r="E5" i="15"/>
  <c r="G4" i="15"/>
  <c r="E4" i="15"/>
  <c r="C4" i="15"/>
  <c r="G3" i="15"/>
  <c r="E3" i="15"/>
  <c r="G21" i="14"/>
  <c r="E21" i="14"/>
  <c r="G20" i="14"/>
  <c r="E20" i="14"/>
  <c r="G19" i="14"/>
  <c r="E19" i="14"/>
  <c r="C19" i="14"/>
  <c r="E17" i="14"/>
  <c r="C17" i="14"/>
  <c r="E16" i="14"/>
  <c r="C16" i="14"/>
  <c r="G15" i="14"/>
  <c r="E15" i="14"/>
  <c r="C15" i="14"/>
  <c r="E13" i="14"/>
  <c r="G12" i="14"/>
  <c r="E12" i="14"/>
  <c r="C12" i="14"/>
  <c r="G11" i="14"/>
  <c r="E11" i="14"/>
  <c r="G10" i="14"/>
  <c r="G9" i="14"/>
  <c r="E9" i="14"/>
  <c r="G8" i="14"/>
  <c r="E8" i="14"/>
  <c r="E7" i="14"/>
  <c r="C7" i="14"/>
  <c r="E6" i="14"/>
  <c r="E5" i="14"/>
  <c r="E4" i="14"/>
  <c r="C4" i="14"/>
  <c r="G3" i="14"/>
  <c r="E3" i="14"/>
  <c r="E22" i="13"/>
  <c r="G21" i="13"/>
  <c r="E19" i="13"/>
  <c r="E17" i="13"/>
  <c r="C17" i="13"/>
  <c r="G16" i="13"/>
  <c r="E16" i="13"/>
  <c r="C16" i="13"/>
  <c r="E15" i="13"/>
  <c r="G13" i="13"/>
  <c r="E13" i="13"/>
  <c r="G12" i="13"/>
  <c r="E12" i="13"/>
  <c r="C12" i="13"/>
  <c r="G11" i="13"/>
  <c r="E11" i="13"/>
  <c r="G9" i="13"/>
  <c r="E9" i="13"/>
  <c r="E8" i="13"/>
  <c r="C8" i="13"/>
  <c r="G7" i="13"/>
  <c r="E7" i="13"/>
  <c r="C7" i="13"/>
  <c r="E5" i="13"/>
  <c r="G4" i="13"/>
  <c r="E4" i="13"/>
  <c r="C4" i="13"/>
  <c r="G3" i="13"/>
  <c r="E3" i="13"/>
  <c r="E21" i="12"/>
  <c r="G20" i="12"/>
  <c r="E20" i="12"/>
  <c r="G19" i="12"/>
  <c r="E19" i="12"/>
  <c r="C19" i="12"/>
  <c r="G18" i="12"/>
  <c r="E17" i="12"/>
  <c r="E16" i="12"/>
  <c r="C16" i="12"/>
  <c r="E15" i="12"/>
  <c r="C15" i="12"/>
  <c r="E14" i="12"/>
  <c r="E13" i="12"/>
  <c r="E12" i="12"/>
  <c r="G11" i="12"/>
  <c r="E11" i="12"/>
  <c r="C10" i="12"/>
  <c r="G9" i="12"/>
  <c r="E9" i="12"/>
  <c r="G8" i="12"/>
  <c r="E8" i="12"/>
  <c r="E7" i="12"/>
  <c r="C7" i="12"/>
  <c r="G5" i="12"/>
  <c r="E5" i="12"/>
  <c r="C5" i="12"/>
  <c r="E4" i="12"/>
  <c r="C4" i="12"/>
  <c r="E3" i="12"/>
  <c r="G21" i="11"/>
  <c r="G20" i="11"/>
  <c r="G19" i="11"/>
  <c r="E19" i="11"/>
  <c r="C19" i="11"/>
  <c r="E17" i="11"/>
  <c r="C17" i="11"/>
  <c r="E16" i="11"/>
  <c r="C16" i="11"/>
  <c r="G15" i="11"/>
  <c r="E15" i="11"/>
  <c r="C15" i="11"/>
  <c r="E13" i="11"/>
  <c r="G12" i="11"/>
  <c r="E12" i="11"/>
  <c r="C12" i="11"/>
  <c r="G11" i="11"/>
  <c r="E11" i="11"/>
  <c r="C11" i="11"/>
  <c r="E9" i="11"/>
  <c r="G8" i="11"/>
  <c r="E8" i="11"/>
  <c r="C8" i="11"/>
  <c r="G7" i="11"/>
  <c r="E7" i="11"/>
  <c r="C7" i="11"/>
  <c r="G6" i="11"/>
  <c r="G5" i="11"/>
  <c r="E5" i="11"/>
  <c r="G4" i="11"/>
  <c r="E4" i="11"/>
  <c r="C4" i="11"/>
  <c r="G3" i="11"/>
  <c r="E3" i="11"/>
  <c r="G22" i="10"/>
  <c r="E21" i="10"/>
  <c r="G19" i="10"/>
  <c r="E19" i="10"/>
  <c r="E18" i="10"/>
  <c r="G17" i="10"/>
  <c r="E17" i="10"/>
  <c r="E16" i="10"/>
  <c r="C16" i="10"/>
  <c r="E15" i="10"/>
  <c r="C15" i="10"/>
  <c r="G13" i="10"/>
  <c r="E13" i="10"/>
  <c r="C13" i="10"/>
  <c r="E12" i="10"/>
  <c r="C12" i="10"/>
  <c r="E11" i="10"/>
  <c r="C11" i="10"/>
  <c r="G9" i="10"/>
  <c r="E9" i="10"/>
  <c r="C9" i="10"/>
  <c r="G8" i="10"/>
  <c r="E8" i="10"/>
  <c r="G7" i="10"/>
  <c r="E7" i="10"/>
  <c r="E5" i="10"/>
  <c r="C5" i="10"/>
  <c r="G4" i="10"/>
  <c r="E4" i="10"/>
  <c r="C4" i="10"/>
  <c r="E3" i="10"/>
  <c r="G21" i="9"/>
  <c r="E20" i="9"/>
  <c r="G19" i="9"/>
  <c r="E19" i="9"/>
  <c r="C19" i="9"/>
  <c r="G17" i="9"/>
  <c r="E17" i="9"/>
  <c r="G16" i="9"/>
  <c r="E16" i="9"/>
  <c r="C16" i="9"/>
  <c r="G15" i="9"/>
  <c r="E15" i="9"/>
  <c r="C15" i="9"/>
  <c r="G14" i="9"/>
  <c r="E13" i="9"/>
  <c r="E12" i="9"/>
  <c r="C12" i="9"/>
  <c r="G11" i="9"/>
  <c r="E11" i="9"/>
  <c r="C10" i="9"/>
  <c r="G9" i="9"/>
  <c r="E9" i="9"/>
  <c r="E8" i="9"/>
  <c r="C8" i="9"/>
  <c r="E7" i="9"/>
  <c r="C7" i="9"/>
  <c r="G5" i="9"/>
  <c r="E5" i="9"/>
  <c r="C5" i="9"/>
  <c r="G4" i="9"/>
  <c r="E4" i="9"/>
  <c r="C4" i="9"/>
  <c r="E3" i="9"/>
  <c r="G21" i="8"/>
  <c r="E21" i="8"/>
  <c r="C21" i="8"/>
  <c r="G20" i="8"/>
  <c r="E20" i="8"/>
  <c r="E19" i="8"/>
  <c r="G17" i="8"/>
  <c r="E17" i="8"/>
  <c r="C17" i="8"/>
  <c r="G16" i="8"/>
  <c r="E16" i="8"/>
  <c r="C16" i="8"/>
  <c r="G15" i="8"/>
  <c r="E15" i="8"/>
  <c r="C15" i="8"/>
  <c r="G13" i="8"/>
  <c r="E13" i="8"/>
  <c r="G12" i="8"/>
  <c r="E12" i="8"/>
  <c r="G11" i="8"/>
  <c r="E11" i="8"/>
  <c r="C11" i="8"/>
  <c r="E9" i="8"/>
  <c r="C9" i="8"/>
  <c r="E8" i="8"/>
  <c r="G7" i="8"/>
  <c r="E7" i="8"/>
  <c r="C7" i="8"/>
  <c r="G5" i="8"/>
  <c r="E5" i="8"/>
  <c r="G4" i="8"/>
  <c r="E4" i="8"/>
  <c r="C4" i="8"/>
  <c r="G3" i="8"/>
  <c r="E3" i="8"/>
  <c r="G21" i="7"/>
  <c r="E21" i="7"/>
  <c r="E20" i="7"/>
  <c r="G19" i="7"/>
  <c r="E19" i="7"/>
  <c r="C19" i="7"/>
  <c r="E18" i="7"/>
  <c r="C18" i="7"/>
  <c r="G17" i="7"/>
  <c r="E17" i="7"/>
  <c r="E16" i="7"/>
  <c r="C16" i="7"/>
  <c r="G15" i="7"/>
  <c r="E15" i="7"/>
  <c r="C15" i="7"/>
  <c r="E14" i="7"/>
  <c r="G13" i="7"/>
  <c r="E13" i="7"/>
  <c r="E12" i="7"/>
  <c r="E11" i="7"/>
  <c r="C11" i="7"/>
  <c r="G9" i="7"/>
  <c r="E9" i="7"/>
  <c r="G8" i="7"/>
  <c r="E8" i="7"/>
  <c r="E7" i="7"/>
  <c r="E5" i="7"/>
  <c r="C5" i="7"/>
  <c r="G4" i="7"/>
  <c r="E4" i="7"/>
  <c r="C4" i="7"/>
  <c r="G3" i="7"/>
  <c r="E3" i="7"/>
  <c r="G21" i="6"/>
  <c r="E21" i="6"/>
  <c r="G20" i="6"/>
  <c r="E20" i="6"/>
  <c r="G19" i="6"/>
  <c r="E19" i="6"/>
  <c r="C19" i="6"/>
  <c r="E17" i="6"/>
  <c r="G16" i="6"/>
  <c r="E16" i="6"/>
  <c r="C16" i="6"/>
  <c r="G15" i="6"/>
  <c r="E15" i="6"/>
  <c r="C15" i="6"/>
  <c r="G13" i="6"/>
  <c r="E13" i="6"/>
  <c r="E12" i="6"/>
  <c r="C12" i="6"/>
  <c r="E11" i="6"/>
  <c r="C11" i="6"/>
  <c r="E10" i="6"/>
  <c r="E9" i="6"/>
  <c r="E8" i="6"/>
  <c r="G7" i="6"/>
  <c r="E7" i="6"/>
  <c r="C7" i="6"/>
  <c r="G5" i="6"/>
  <c r="E5" i="6"/>
  <c r="E4" i="6"/>
  <c r="C4" i="6"/>
  <c r="G3" i="6"/>
  <c r="E3" i="6"/>
  <c r="G21" i="5"/>
  <c r="G20" i="5"/>
  <c r="G19" i="5"/>
  <c r="E19" i="5"/>
  <c r="C19" i="5"/>
  <c r="G17" i="5"/>
  <c r="E17" i="5"/>
  <c r="G16" i="5"/>
  <c r="E16" i="5"/>
  <c r="C16" i="5"/>
  <c r="G15" i="5"/>
  <c r="E15" i="5"/>
  <c r="C15" i="5"/>
  <c r="E13" i="5"/>
  <c r="G12" i="5"/>
  <c r="E12" i="5"/>
  <c r="C12" i="5"/>
  <c r="G11" i="5"/>
  <c r="E11" i="5"/>
  <c r="C11" i="5"/>
  <c r="E9" i="5"/>
  <c r="G8" i="5"/>
  <c r="E8" i="5"/>
  <c r="C8" i="5"/>
  <c r="G7" i="5"/>
  <c r="E7" i="5"/>
  <c r="C7" i="5"/>
  <c r="G5" i="5"/>
  <c r="E5" i="5"/>
  <c r="G4" i="5"/>
  <c r="E4" i="5"/>
  <c r="C4" i="5"/>
  <c r="G3" i="5"/>
  <c r="E3" i="5"/>
  <c r="C3" i="9" l="1"/>
  <c r="C3" i="15"/>
  <c r="C3" i="13"/>
  <c r="C3" i="7"/>
  <c r="C3" i="12"/>
  <c r="C3" i="8"/>
  <c r="C3" i="6"/>
  <c r="C3" i="11"/>
  <c r="C3" i="14"/>
  <c r="C3" i="5"/>
  <c r="C2" i="8"/>
  <c r="C2" i="6"/>
  <c r="C2" i="14"/>
  <c r="G22" i="15"/>
  <c r="E10" i="9"/>
  <c r="G22" i="5"/>
  <c r="C10" i="7"/>
  <c r="E6" i="9"/>
  <c r="G10" i="9"/>
  <c r="C10" i="10"/>
  <c r="E14" i="10"/>
  <c r="G18" i="10"/>
  <c r="E6" i="12"/>
  <c r="G10" i="12"/>
  <c r="C5" i="15"/>
  <c r="C18" i="15"/>
  <c r="C21" i="7"/>
  <c r="C17" i="5"/>
  <c r="G11" i="6"/>
  <c r="G5" i="7"/>
  <c r="E10" i="7"/>
  <c r="G8" i="8"/>
  <c r="C13" i="8"/>
  <c r="E22" i="8"/>
  <c r="G6" i="9"/>
  <c r="G20" i="9"/>
  <c r="G5" i="10"/>
  <c r="E10" i="10"/>
  <c r="G14" i="10"/>
  <c r="C19" i="10"/>
  <c r="G16" i="11"/>
  <c r="E22" i="11"/>
  <c r="G6" i="12"/>
  <c r="C11" i="12"/>
  <c r="G15" i="12"/>
  <c r="G8" i="13"/>
  <c r="G17" i="13"/>
  <c r="G7" i="14"/>
  <c r="G16" i="14"/>
  <c r="C21" i="14"/>
  <c r="G9" i="15"/>
  <c r="E14" i="15"/>
  <c r="E18" i="15"/>
  <c r="C18" i="6"/>
  <c r="C22" i="7"/>
  <c r="G10" i="6"/>
  <c r="G14" i="12"/>
  <c r="G22" i="13"/>
  <c r="C6" i="7"/>
  <c r="C13" i="7"/>
  <c r="C5" i="5"/>
  <c r="G13" i="5"/>
  <c r="E18" i="5"/>
  <c r="G12" i="6"/>
  <c r="G22" i="6"/>
  <c r="G6" i="7"/>
  <c r="G20" i="7"/>
  <c r="C5" i="8"/>
  <c r="G9" i="8"/>
  <c r="E14" i="8"/>
  <c r="G18" i="8"/>
  <c r="G7" i="9"/>
  <c r="C17" i="9"/>
  <c r="G22" i="9"/>
  <c r="C7" i="10"/>
  <c r="G15" i="10"/>
  <c r="G20" i="10"/>
  <c r="C5" i="11"/>
  <c r="G13" i="11"/>
  <c r="G17" i="11"/>
  <c r="G7" i="12"/>
  <c r="G16" i="12"/>
  <c r="C10" i="13"/>
  <c r="G14" i="13"/>
  <c r="G18" i="13"/>
  <c r="C9" i="14"/>
  <c r="G17" i="14"/>
  <c r="E22" i="14"/>
  <c r="E6" i="15"/>
  <c r="G10" i="15"/>
  <c r="E6" i="6"/>
  <c r="E10" i="12"/>
  <c r="G10" i="7"/>
  <c r="C18" i="13"/>
  <c r="G18" i="15"/>
  <c r="C14" i="6"/>
  <c r="E6" i="7"/>
  <c r="E18" i="8"/>
  <c r="E22" i="9"/>
  <c r="G6" i="10"/>
  <c r="C21" i="12"/>
  <c r="C5" i="13"/>
  <c r="E14" i="13"/>
  <c r="E18" i="13"/>
  <c r="C13" i="14"/>
  <c r="C6" i="15"/>
  <c r="E10" i="15"/>
  <c r="G9" i="5"/>
  <c r="E14" i="5"/>
  <c r="G18" i="5"/>
  <c r="G8" i="6"/>
  <c r="G17" i="6"/>
  <c r="G11" i="7"/>
  <c r="G16" i="7"/>
  <c r="C10" i="8"/>
  <c r="G14" i="8"/>
  <c r="C19" i="8"/>
  <c r="G3" i="9"/>
  <c r="G12" i="9"/>
  <c r="G11" i="10"/>
  <c r="G9" i="11"/>
  <c r="C18" i="11"/>
  <c r="G3" i="12"/>
  <c r="G12" i="12"/>
  <c r="C17" i="12"/>
  <c r="G21" i="12"/>
  <c r="G5" i="13"/>
  <c r="E10" i="13"/>
  <c r="G4" i="14"/>
  <c r="G13" i="14"/>
  <c r="G22" i="14"/>
  <c r="G6" i="15"/>
  <c r="C11" i="15"/>
  <c r="G15" i="15"/>
  <c r="G19" i="15"/>
  <c r="C11" i="14"/>
  <c r="G14" i="7"/>
  <c r="G6" i="6"/>
  <c r="E6" i="10"/>
  <c r="G10" i="10"/>
  <c r="C10" i="5"/>
  <c r="E18" i="6"/>
  <c r="C17" i="7"/>
  <c r="E10" i="8"/>
  <c r="C10" i="11"/>
  <c r="E14" i="11"/>
  <c r="C5" i="14"/>
  <c r="E14" i="14"/>
  <c r="C9" i="7"/>
  <c r="G14" i="15"/>
  <c r="C17" i="6"/>
  <c r="G14" i="5"/>
  <c r="E18" i="11"/>
  <c r="C22" i="12"/>
  <c r="E6" i="13"/>
  <c r="G10" i="13"/>
  <c r="E18" i="14"/>
  <c r="G20" i="15"/>
  <c r="C22" i="13"/>
  <c r="E6" i="5"/>
  <c r="E10" i="5"/>
  <c r="G4" i="6"/>
  <c r="E14" i="6"/>
  <c r="G18" i="6"/>
  <c r="G12" i="7"/>
  <c r="E22" i="7"/>
  <c r="E6" i="8"/>
  <c r="G10" i="8"/>
  <c r="G19" i="8"/>
  <c r="G13" i="9"/>
  <c r="E18" i="9"/>
  <c r="G16" i="10"/>
  <c r="G21" i="10"/>
  <c r="C6" i="11"/>
  <c r="E10" i="11"/>
  <c r="G14" i="11"/>
  <c r="G18" i="11"/>
  <c r="C9" i="12"/>
  <c r="E22" i="12"/>
  <c r="G6" i="13"/>
  <c r="C10" i="14"/>
  <c r="G14" i="14"/>
  <c r="G18" i="14"/>
  <c r="G6" i="14"/>
  <c r="E22" i="5"/>
  <c r="G18" i="7"/>
  <c r="G22" i="8"/>
  <c r="G22" i="11"/>
  <c r="C10" i="15"/>
  <c r="E22" i="6"/>
  <c r="G6" i="5"/>
  <c r="G10" i="5"/>
  <c r="G22" i="7"/>
  <c r="E20" i="11"/>
  <c r="C20" i="11"/>
  <c r="E20" i="5"/>
  <c r="E20" i="10"/>
  <c r="C2" i="4"/>
  <c r="C2" i="5"/>
  <c r="C22" i="6"/>
  <c r="E21" i="15"/>
  <c r="C2" i="13"/>
  <c r="C2" i="7"/>
  <c r="C22" i="8"/>
  <c r="C22" i="11"/>
  <c r="C20" i="13"/>
  <c r="E21" i="5"/>
  <c r="C22" i="10"/>
  <c r="C22" i="14"/>
  <c r="C22" i="5"/>
  <c r="C2" i="9"/>
  <c r="C2" i="12"/>
  <c r="E21" i="13"/>
  <c r="C2" i="11"/>
  <c r="C8" i="14"/>
  <c r="C20" i="14"/>
  <c r="C14" i="7"/>
  <c r="C20" i="9"/>
  <c r="C8" i="10"/>
  <c r="C20" i="10"/>
  <c r="C6" i="12"/>
  <c r="C14" i="12"/>
  <c r="C18" i="12"/>
  <c r="C9" i="13"/>
  <c r="C13" i="13"/>
  <c r="C21" i="13"/>
  <c r="C13" i="5"/>
  <c r="C21" i="5"/>
  <c r="C8" i="6"/>
  <c r="C20" i="6"/>
  <c r="C6" i="8"/>
  <c r="C14" i="8"/>
  <c r="C18" i="8"/>
  <c r="C9" i="9"/>
  <c r="C13" i="9"/>
  <c r="C21" i="9"/>
  <c r="C6" i="13"/>
  <c r="C14" i="13"/>
  <c r="C20" i="15"/>
  <c r="C6" i="5"/>
  <c r="C14" i="5"/>
  <c r="C18" i="5"/>
  <c r="C9" i="6"/>
  <c r="C13" i="6"/>
  <c r="C21" i="6"/>
  <c r="C8" i="7"/>
  <c r="C12" i="7"/>
  <c r="C20" i="7"/>
  <c r="C6" i="9"/>
  <c r="C14" i="9"/>
  <c r="C18" i="9"/>
  <c r="C6" i="10"/>
  <c r="C18" i="10"/>
  <c r="C9" i="11"/>
  <c r="C13" i="11"/>
  <c r="C21" i="11"/>
  <c r="C8" i="12"/>
  <c r="C12" i="12"/>
  <c r="C20" i="12"/>
  <c r="C9" i="15"/>
  <c r="C13" i="15"/>
  <c r="C21" i="15"/>
  <c r="C14" i="15"/>
  <c r="C11" i="9"/>
  <c r="C6" i="14"/>
  <c r="C14" i="14"/>
  <c r="C14" i="10"/>
  <c r="C2" i="10"/>
  <c r="G3" i="4"/>
  <c r="G4" i="4"/>
  <c r="G5" i="4"/>
  <c r="G6" i="4"/>
  <c r="G7" i="4"/>
  <c r="G8" i="4"/>
  <c r="G11" i="4"/>
  <c r="G12" i="4"/>
  <c r="G13" i="4"/>
  <c r="G15" i="4"/>
  <c r="G17" i="4"/>
  <c r="G18" i="4"/>
  <c r="G19" i="4"/>
  <c r="G20" i="4"/>
  <c r="G22" i="4"/>
  <c r="E3" i="4"/>
  <c r="E4" i="4"/>
  <c r="E5" i="4"/>
  <c r="E6" i="4"/>
  <c r="E7" i="4"/>
  <c r="E10" i="4"/>
  <c r="E12" i="4"/>
  <c r="E13" i="4"/>
  <c r="E14" i="4"/>
  <c r="E15" i="4"/>
  <c r="E16" i="4"/>
  <c r="E17" i="4"/>
  <c r="E18" i="4"/>
  <c r="E19" i="4"/>
  <c r="E20" i="4"/>
  <c r="C3" i="4"/>
  <c r="C4" i="4"/>
  <c r="C5" i="4"/>
  <c r="C9" i="4"/>
  <c r="C11" i="4"/>
  <c r="C12" i="4"/>
  <c r="C13" i="4"/>
  <c r="C17" i="4"/>
  <c r="C18" i="4"/>
  <c r="C19" i="4"/>
  <c r="C21" i="4"/>
  <c r="C22" i="4"/>
  <c r="C2" i="3"/>
  <c r="G3" i="3"/>
  <c r="G4" i="3"/>
  <c r="G5" i="3"/>
  <c r="G6" i="3"/>
  <c r="G7" i="3"/>
  <c r="G8" i="3"/>
  <c r="G11" i="3"/>
  <c r="G12" i="3"/>
  <c r="G13" i="3"/>
  <c r="G15" i="3"/>
  <c r="G19" i="3"/>
  <c r="E6" i="3"/>
  <c r="E7" i="3"/>
  <c r="E12" i="3"/>
  <c r="E18" i="3"/>
  <c r="C22" i="3"/>
  <c r="C12" i="3"/>
  <c r="C17" i="3"/>
  <c r="C18" i="3"/>
  <c r="C8" i="3" l="1"/>
  <c r="C8" i="4"/>
  <c r="G14" i="3"/>
  <c r="G14" i="4"/>
  <c r="C7" i="3"/>
  <c r="C7" i="4"/>
  <c r="E4" i="3"/>
  <c r="G21" i="3"/>
  <c r="G21" i="4"/>
  <c r="G20" i="3"/>
  <c r="E17" i="3"/>
  <c r="C6" i="3"/>
  <c r="C6" i="4"/>
  <c r="E22" i="3"/>
  <c r="E22" i="4"/>
  <c r="C20" i="3"/>
  <c r="C20" i="4"/>
  <c r="E3" i="3"/>
  <c r="C15" i="3"/>
  <c r="C15" i="4"/>
  <c r="E11" i="3"/>
  <c r="E11" i="4"/>
  <c r="E21" i="3"/>
  <c r="E21" i="4"/>
  <c r="G18" i="3"/>
  <c r="E8" i="3"/>
  <c r="E8" i="4"/>
  <c r="E15" i="3"/>
  <c r="G17" i="3"/>
  <c r="C10" i="3"/>
  <c r="C10" i="4"/>
  <c r="G16" i="3"/>
  <c r="G16" i="4"/>
  <c r="E5" i="3"/>
  <c r="C5" i="3"/>
  <c r="C16" i="3"/>
  <c r="C16" i="4"/>
  <c r="G10" i="3"/>
  <c r="G10" i="4"/>
  <c r="G9" i="3"/>
  <c r="G9" i="4"/>
  <c r="C14" i="3"/>
  <c r="C14" i="4"/>
  <c r="E9" i="3"/>
  <c r="E9" i="4"/>
  <c r="E16" i="3"/>
  <c r="E14" i="3"/>
  <c r="C11" i="3"/>
  <c r="C4" i="3"/>
  <c r="G22" i="3"/>
  <c r="E19" i="3"/>
  <c r="E13" i="3"/>
  <c r="E10" i="3"/>
  <c r="E20" i="3"/>
  <c r="C3" i="3"/>
  <c r="C19" i="3"/>
  <c r="C21" i="3"/>
  <c r="C13" i="3"/>
  <c r="C9" i="3"/>
  <c r="E2" i="12" l="1"/>
  <c r="E2" i="7"/>
  <c r="E2" i="4"/>
  <c r="E2" i="9"/>
  <c r="E2" i="8"/>
  <c r="E2" i="10"/>
  <c r="E2" i="14"/>
  <c r="E2" i="15"/>
  <c r="E2" i="13"/>
  <c r="E2" i="11"/>
  <c r="E2" i="5"/>
  <c r="E2" i="3"/>
  <c r="E2" i="6"/>
  <c r="G2" i="4"/>
  <c r="G2" i="14"/>
  <c r="G2" i="5"/>
  <c r="G2" i="12"/>
  <c r="G2" i="7"/>
  <c r="G2" i="10"/>
  <c r="G2" i="9"/>
  <c r="G2" i="8"/>
  <c r="G2" i="6"/>
  <c r="G2" i="11"/>
  <c r="G2" i="15"/>
  <c r="G2" i="3"/>
  <c r="G2" i="13"/>
</calcChain>
</file>

<file path=xl/sharedStrings.xml><?xml version="1.0" encoding="utf-8"?>
<sst xmlns="http://schemas.openxmlformats.org/spreadsheetml/2006/main" count="744" uniqueCount="40">
  <si>
    <t>4160D</t>
  </si>
  <si>
    <t>35F01190003B001</t>
  </si>
  <si>
    <t>6612E</t>
  </si>
  <si>
    <t>23F00700020B003</t>
  </si>
  <si>
    <t>23F00700022B002</t>
  </si>
  <si>
    <t>818H</t>
  </si>
  <si>
    <t>60F01100006B002</t>
  </si>
  <si>
    <t>835T</t>
  </si>
  <si>
    <t>62F02200001B001</t>
  </si>
  <si>
    <t>62F02200002B001</t>
  </si>
  <si>
    <t>838T</t>
  </si>
  <si>
    <t>62F02160008B001</t>
  </si>
  <si>
    <t>62F02310001B001</t>
  </si>
  <si>
    <t>848T</t>
  </si>
  <si>
    <t>64F08560004B001</t>
  </si>
  <si>
    <t>64F08560014B001</t>
  </si>
  <si>
    <t>908E</t>
  </si>
  <si>
    <t>06F0187C032B001</t>
  </si>
  <si>
    <t>06F0187C049B001</t>
  </si>
  <si>
    <t>913E</t>
  </si>
  <si>
    <t>08F00550010B002</t>
  </si>
  <si>
    <t>08F00550011B002</t>
  </si>
  <si>
    <t>915E</t>
  </si>
  <si>
    <t>08F00630020B001</t>
  </si>
  <si>
    <t>08F00630021B001</t>
  </si>
  <si>
    <t>08F00630022B001</t>
  </si>
  <si>
    <t>08F00630023B001</t>
  </si>
  <si>
    <t>922E</t>
  </si>
  <si>
    <t>10F0084C075B001</t>
  </si>
  <si>
    <t>10F0084C076B001</t>
  </si>
  <si>
    <t>10F0084C077B001</t>
  </si>
  <si>
    <t>MODEL</t>
  </si>
  <si>
    <t>SAP</t>
  </si>
  <si>
    <t>15 days</t>
  </si>
  <si>
    <t>30 days</t>
  </si>
  <si>
    <t>60 days</t>
  </si>
  <si>
    <t>Availible 15 days</t>
  </si>
  <si>
    <t>Avilible 30 days</t>
  </si>
  <si>
    <t>avilible 60 days</t>
  </si>
  <si>
    <t>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</si>
</sst>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1" fillId="0" borderId="0" xfId="0" applyFont="1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E360B-8240-4907-84E9-63B7A9C3441C}">
  <sheetPr codeName="Planilha1"/>
  <dimension ref="A1:E22"/>
  <sheetViews>
    <sheetView workbookViewId="0">
      <selection activeCell="L8" sqref="L8"/>
    </sheetView>
  </sheetViews>
  <sheetFormatPr defaultRowHeight="15" x14ac:dyDescent="0.25"/>
  <cols>
    <col min="1" max="1" width="6.85546875" bestFit="1" customWidth="1"/>
    <col min="2" max="2" width="16.42578125" bestFit="1" customWidth="1"/>
    <col min="3" max="5" width="7" bestFit="1" customWidth="1"/>
  </cols>
  <sheetData>
    <row r="1" spans="1:5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</row>
    <row r="2" spans="1:5" x14ac:dyDescent="0.25">
      <c r="A2" s="1" t="s">
        <v>0</v>
      </c>
      <c r="B2" t="s">
        <v>1</v>
      </c>
      <c r="C2">
        <v>0</v>
      </c>
      <c r="D2">
        <v>8</v>
      </c>
      <c r="E2">
        <v>57</v>
      </c>
    </row>
    <row r="3" spans="1:5" x14ac:dyDescent="0.25">
      <c r="A3" s="2" t="s">
        <v>2</v>
      </c>
      <c r="B3" t="s">
        <v>3</v>
      </c>
      <c r="C3">
        <v>15</v>
      </c>
    </row>
    <row r="4" spans="1:5" x14ac:dyDescent="0.25">
      <c r="A4" s="1" t="s">
        <v>2</v>
      </c>
      <c r="B4" t="s">
        <v>4</v>
      </c>
      <c r="C4">
        <v>39</v>
      </c>
    </row>
    <row r="5" spans="1:5" x14ac:dyDescent="0.25">
      <c r="A5" s="1" t="s">
        <v>5</v>
      </c>
      <c r="B5" t="s">
        <v>6</v>
      </c>
      <c r="E5">
        <v>10</v>
      </c>
    </row>
    <row r="6" spans="1:5" x14ac:dyDescent="0.25">
      <c r="A6" s="2" t="s">
        <v>7</v>
      </c>
      <c r="B6" t="s">
        <v>8</v>
      </c>
      <c r="C6">
        <v>8</v>
      </c>
      <c r="E6">
        <v>117</v>
      </c>
    </row>
    <row r="7" spans="1:5" x14ac:dyDescent="0.25">
      <c r="A7" s="1" t="s">
        <v>7</v>
      </c>
      <c r="B7" t="s">
        <v>9</v>
      </c>
      <c r="C7">
        <v>11</v>
      </c>
    </row>
    <row r="8" spans="1:5" x14ac:dyDescent="0.25">
      <c r="A8" s="2" t="s">
        <v>10</v>
      </c>
      <c r="B8" t="s">
        <v>11</v>
      </c>
      <c r="C8">
        <v>9</v>
      </c>
    </row>
    <row r="9" spans="1:5" x14ac:dyDescent="0.25">
      <c r="A9" s="1" t="s">
        <v>10</v>
      </c>
      <c r="B9" t="s">
        <v>12</v>
      </c>
      <c r="C9">
        <v>5</v>
      </c>
    </row>
    <row r="10" spans="1:5" x14ac:dyDescent="0.25">
      <c r="A10" s="2" t="s">
        <v>13</v>
      </c>
      <c r="B10" t="s">
        <v>14</v>
      </c>
      <c r="C10">
        <v>1</v>
      </c>
    </row>
    <row r="11" spans="1:5" x14ac:dyDescent="0.25">
      <c r="A11" s="1" t="s">
        <v>13</v>
      </c>
      <c r="B11" t="s">
        <v>15</v>
      </c>
      <c r="C11">
        <v>5</v>
      </c>
    </row>
    <row r="12" spans="1:5" x14ac:dyDescent="0.25">
      <c r="A12" s="2" t="s">
        <v>16</v>
      </c>
      <c r="B12" t="s">
        <v>17</v>
      </c>
      <c r="C12">
        <v>10</v>
      </c>
      <c r="D12">
        <v>18</v>
      </c>
      <c r="E12">
        <v>18</v>
      </c>
    </row>
    <row r="13" spans="1:5" x14ac:dyDescent="0.25">
      <c r="A13" s="1" t="s">
        <v>16</v>
      </c>
      <c r="B13" t="s">
        <v>18</v>
      </c>
      <c r="C13">
        <v>20</v>
      </c>
    </row>
    <row r="14" spans="1:5" x14ac:dyDescent="0.25">
      <c r="A14" s="2" t="s">
        <v>19</v>
      </c>
      <c r="B14" t="s">
        <v>20</v>
      </c>
      <c r="D14">
        <v>5</v>
      </c>
      <c r="E14">
        <v>16</v>
      </c>
    </row>
    <row r="15" spans="1:5" x14ac:dyDescent="0.25">
      <c r="A15" s="1" t="s">
        <v>19</v>
      </c>
      <c r="B15" t="s">
        <v>21</v>
      </c>
      <c r="D15">
        <v>25</v>
      </c>
    </row>
    <row r="16" spans="1:5" x14ac:dyDescent="0.25">
      <c r="A16" s="2" t="s">
        <v>22</v>
      </c>
      <c r="B16" t="s">
        <v>23</v>
      </c>
      <c r="C16">
        <v>1</v>
      </c>
      <c r="E16">
        <v>42</v>
      </c>
    </row>
    <row r="17" spans="1:5" x14ac:dyDescent="0.25">
      <c r="A17" s="2" t="s">
        <v>22</v>
      </c>
      <c r="B17" t="s">
        <v>24</v>
      </c>
      <c r="C17">
        <v>3</v>
      </c>
      <c r="D17">
        <v>2</v>
      </c>
      <c r="E17">
        <v>20</v>
      </c>
    </row>
    <row r="18" spans="1:5" x14ac:dyDescent="0.25">
      <c r="A18" s="2" t="s">
        <v>22</v>
      </c>
      <c r="B18" t="s">
        <v>25</v>
      </c>
      <c r="C18">
        <v>1</v>
      </c>
      <c r="D18">
        <v>2</v>
      </c>
    </row>
    <row r="19" spans="1:5" x14ac:dyDescent="0.25">
      <c r="A19" s="1" t="s">
        <v>22</v>
      </c>
      <c r="B19" t="s">
        <v>26</v>
      </c>
      <c r="C19">
        <v>4</v>
      </c>
      <c r="D19">
        <v>1</v>
      </c>
      <c r="E19">
        <v>10</v>
      </c>
    </row>
    <row r="20" spans="1:5" x14ac:dyDescent="0.25">
      <c r="A20" s="2" t="s">
        <v>27</v>
      </c>
      <c r="B20" t="s">
        <v>28</v>
      </c>
      <c r="C20">
        <v>6</v>
      </c>
      <c r="D20">
        <v>6</v>
      </c>
      <c r="E20">
        <v>26</v>
      </c>
    </row>
    <row r="21" spans="1:5" x14ac:dyDescent="0.25">
      <c r="A21" s="2" t="s">
        <v>27</v>
      </c>
      <c r="B21" t="s">
        <v>29</v>
      </c>
      <c r="D21">
        <v>6</v>
      </c>
      <c r="E21">
        <v>6</v>
      </c>
    </row>
    <row r="22" spans="1:5" x14ac:dyDescent="0.25">
      <c r="A22" s="1" t="s">
        <v>27</v>
      </c>
      <c r="B22" t="s">
        <v>30</v>
      </c>
      <c r="E22">
        <v>35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54B99-5581-403C-BFD7-51124A688608}">
  <sheetPr codeName="Planilha2"/>
  <dimension ref="A1:E22"/>
  <sheetViews>
    <sheetView tabSelected="1" workbookViewId="0">
      <selection activeCell="C3" sqref="C3"/>
    </sheetView>
  </sheetViews>
  <sheetFormatPr defaultRowHeight="15" x14ac:dyDescent="0.25"/>
  <cols>
    <col min="1" max="1" width="6.85546875" bestFit="1" customWidth="1"/>
    <col min="2" max="2" width="16.42578125" bestFit="1" customWidth="1"/>
    <col min="3" max="5" width="7" bestFit="1" customWidth="1"/>
  </cols>
  <sheetData>
    <row r="1" spans="1:5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</row>
    <row r="2" spans="1:5" x14ac:dyDescent="0.25">
      <c r="A2" s="1" t="s">
        <v>0</v>
      </c>
      <c r="B2" t="s">
        <v>1</v>
      </c>
      <c r="C2">
        <f>Inicial!C2-CEQUIP!D2-DAMAQ!D2-JUMASA!D2-MEVOS!D2-MPM!D2-NORDESTE!D2-PRIORI!D2-RR!D2-SARANDI!D2-SERPEMA!D2-TRACSUL!D2-TRACTORBEL!D2-'JUMASA NORTE'!D2</f>
        <v>0</v>
      </c>
      <c r="D2">
        <f>Inicial!D2-CEQUIP!F2-DAMAQ!F2-JUMASA!F2-MEVOS!F2-MPM!F2-NORDESTE!F2-PRIORI!F2-RR!F2-SARANDI!F2-SERPEMA!F2-TRACSUL!F2-TRACTORBEL!F2-'JUMASA NORTE'!F2</f>
        <v>8</v>
      </c>
      <c r="E2">
        <f>Inicial!E2-CEQUIP!H2-DAMAQ!H2-JUMASA!H2-MEVOS!H2-MPM!H2-NORDESTE!H2-PRIORI!H2-RR!H2-SARANDI!H2-SERPEMA!H2-TRACSUL!H2-TRACTORBEL!H2-'JUMASA NORTE'!H2</f>
        <v>57</v>
      </c>
    </row>
    <row r="3" spans="1:5" x14ac:dyDescent="0.25">
      <c r="A3" s="2" t="s">
        <v>2</v>
      </c>
      <c r="B3" t="s">
        <v>3</v>
      </c>
      <c r="C3">
        <f>Inicial!C3-CEQUIP!D3-DAMAQ!D3-JUMASA!D3-MEVOS!D3-MPM!D3-NORDESTE!D3-PRIORI!D3-RR!D3-SARANDI!D3-SERPEMA!D3-TRACSUL!D3-TRACTORBEL!D3-'JUMASA NORTE'!D3</f>
        <v>15</v>
      </c>
      <c r="D3">
        <f>Inicial!D3-CEQUIP!F3-DAMAQ!F3-JUMASA!F3-MEVOS!F3-MPM!F3-NORDESTE!F3-PRIORI!F3-RR!F3-SARANDI!F3-SERPEMA!F3-TRACSUL!F3-TRACTORBEL!F3-'JUMASA NORTE'!F3</f>
        <v>0</v>
      </c>
      <c r="E3">
        <f>Inicial!E3-CEQUIP!H3-DAMAQ!H3-JUMASA!H3-MEVOS!H3-MPM!H3-NORDESTE!H3-PRIORI!H3-RR!H3-SARANDI!H3-SERPEMA!H3-TRACSUL!H3-TRACTORBEL!H3-'JUMASA NORTE'!H3</f>
        <v>0</v>
      </c>
    </row>
    <row r="4" spans="1:5" x14ac:dyDescent="0.25">
      <c r="A4" s="1" t="s">
        <v>2</v>
      </c>
      <c r="B4" t="s">
        <v>4</v>
      </c>
      <c r="C4">
        <f>Inicial!C4-CEQUIP!D4-DAMAQ!D4-JUMASA!D4-MEVOS!D4-MPM!D4-NORDESTE!D4-PRIORI!D4-RR!D4-SARANDI!D4-SERPEMA!D4-TRACSUL!D4-TRACTORBEL!D4-'JUMASA NORTE'!D4</f>
        <v>39</v>
      </c>
      <c r="D4">
        <f>Inicial!D4-CEQUIP!F4-DAMAQ!F4-JUMASA!F4-MEVOS!F4-MPM!F4-NORDESTE!F4-PRIORI!F4-RR!F4-SARANDI!F4-SERPEMA!F4-TRACSUL!F4-TRACTORBEL!F4-'JUMASA NORTE'!F4</f>
        <v>0</v>
      </c>
      <c r="E4">
        <f>Inicial!E4-CEQUIP!H4-DAMAQ!H4-JUMASA!H4-MEVOS!H4-MPM!H4-NORDESTE!H4-PRIORI!H4-RR!H4-SARANDI!H4-SERPEMA!H4-TRACSUL!H4-TRACTORBEL!H4-'JUMASA NORTE'!H4</f>
        <v>0</v>
      </c>
    </row>
    <row r="5" spans="1:5" x14ac:dyDescent="0.25">
      <c r="A5" s="1" t="s">
        <v>5</v>
      </c>
      <c r="B5" t="s">
        <v>6</v>
      </c>
      <c r="C5">
        <f>Inicial!C5-CEQUIP!D5-DAMAQ!D5-JUMASA!D5-MEVOS!D5-MPM!D5-NORDESTE!D5-PRIORI!D5-RR!D5-SARANDI!D5-SERPEMA!D5-TRACSUL!D5-TRACTORBEL!D5-'JUMASA NORTE'!D5</f>
        <v>0</v>
      </c>
      <c r="D5">
        <f>Inicial!D5-CEQUIP!F5-DAMAQ!F5-JUMASA!F5-MEVOS!F5-MPM!F5-NORDESTE!F5-PRIORI!F5-RR!F5-SARANDI!F5-SERPEMA!F5-TRACSUL!F5-TRACTORBEL!F5-'JUMASA NORTE'!F5</f>
        <v>0</v>
      </c>
      <c r="E5">
        <f>Inicial!E5-CEQUIP!H5-DAMAQ!H5-JUMASA!H5-MEVOS!H5-MPM!H5-NORDESTE!H5-PRIORI!H5-RR!H5-SARANDI!H5-SERPEMA!H5-TRACSUL!H5-TRACTORBEL!H5-'JUMASA NORTE'!H5</f>
        <v>10</v>
      </c>
    </row>
    <row r="6" spans="1:5" x14ac:dyDescent="0.25">
      <c r="A6" s="2" t="s">
        <v>7</v>
      </c>
      <c r="B6" t="s">
        <v>8</v>
      </c>
      <c r="C6">
        <f>Inicial!C6-CEQUIP!D6-DAMAQ!D6-JUMASA!D6-MEVOS!D6-MPM!D6-NORDESTE!D6-PRIORI!D6-RR!D6-SARANDI!D6-SERPEMA!D6-TRACSUL!D6-TRACTORBEL!D6-'JUMASA NORTE'!D6</f>
        <v>8</v>
      </c>
      <c r="D6">
        <f>Inicial!D6-CEQUIP!F6-DAMAQ!F6-JUMASA!F6-MEVOS!F6-MPM!F6-NORDESTE!F6-PRIORI!F6-RR!F6-SARANDI!F6-SERPEMA!F6-TRACSUL!F6-TRACTORBEL!F6-'JUMASA NORTE'!F6</f>
        <v>0</v>
      </c>
      <c r="E6">
        <f>Inicial!E6-CEQUIP!H6-DAMAQ!H6-JUMASA!H6-MEVOS!H6-MPM!H6-NORDESTE!H6-PRIORI!H6-RR!H6-SARANDI!H6-SERPEMA!H6-TRACSUL!H6-TRACTORBEL!H6-'JUMASA NORTE'!H6</f>
        <v>117</v>
      </c>
    </row>
    <row r="7" spans="1:5" x14ac:dyDescent="0.25">
      <c r="A7" s="1" t="s">
        <v>7</v>
      </c>
      <c r="B7" t="s">
        <v>9</v>
      </c>
      <c r="C7">
        <f>Inicial!C7-CEQUIP!D7-DAMAQ!D7-JUMASA!D7-MEVOS!D7-MPM!D7-NORDESTE!D7-PRIORI!D7-RR!D7-SARANDI!D7-SERPEMA!D7-TRACSUL!D7-TRACTORBEL!D7-'JUMASA NORTE'!D7</f>
        <v>11</v>
      </c>
      <c r="D7">
        <f>Inicial!D7-CEQUIP!F7-DAMAQ!F7-JUMASA!F7-MEVOS!F7-MPM!F7-NORDESTE!F7-PRIORI!F7-RR!F7-SARANDI!F7-SERPEMA!F7-TRACSUL!F7-TRACTORBEL!F7-'JUMASA NORTE'!F7</f>
        <v>0</v>
      </c>
      <c r="E7">
        <f>Inicial!E7-CEQUIP!H7-DAMAQ!H7-JUMASA!H7-MEVOS!H7-MPM!H7-NORDESTE!H7-PRIORI!H7-RR!H7-SARANDI!H7-SERPEMA!H7-TRACSUL!H7-TRACTORBEL!H7-'JUMASA NORTE'!H7</f>
        <v>0</v>
      </c>
    </row>
    <row r="8" spans="1:5" x14ac:dyDescent="0.25">
      <c r="A8" s="2" t="s">
        <v>10</v>
      </c>
      <c r="B8" t="s">
        <v>11</v>
      </c>
      <c r="C8">
        <f>Inicial!C8-CEQUIP!D8-DAMAQ!D8-JUMASA!D8-MEVOS!D8-MPM!D8-NORDESTE!D8-PRIORI!D8-RR!D8-SARANDI!D8-SERPEMA!D8-TRACSUL!D8-TRACTORBEL!D8-'JUMASA NORTE'!D8</f>
        <v>9</v>
      </c>
      <c r="D8">
        <f>Inicial!D8-CEQUIP!F8-DAMAQ!F8-JUMASA!F8-MEVOS!F8-MPM!F8-NORDESTE!F8-PRIORI!F8-RR!F8-SARANDI!F8-SERPEMA!F8-TRACSUL!F8-TRACTORBEL!F8-'JUMASA NORTE'!F8</f>
        <v>0</v>
      </c>
      <c r="E8">
        <f>Inicial!E8-CEQUIP!H8-DAMAQ!H8-JUMASA!H8-MEVOS!H8-MPM!H8-NORDESTE!H8-PRIORI!H8-RR!H8-SARANDI!H8-SERPEMA!H8-TRACSUL!H8-TRACTORBEL!H8-'JUMASA NORTE'!H8</f>
        <v>0</v>
      </c>
    </row>
    <row r="9" spans="1:5" x14ac:dyDescent="0.25">
      <c r="A9" s="1" t="s">
        <v>10</v>
      </c>
      <c r="B9" t="s">
        <v>12</v>
      </c>
      <c r="C9">
        <f>Inicial!C9-CEQUIP!D9-DAMAQ!D9-JUMASA!D9-MEVOS!D9-MPM!D9-NORDESTE!D9-PRIORI!D9-RR!D9-SARANDI!D9-SERPEMA!D9-TRACSUL!D9-TRACTORBEL!D9-'JUMASA NORTE'!D9</f>
        <v>5</v>
      </c>
      <c r="D9">
        <f>Inicial!D9-CEQUIP!F9-DAMAQ!F9-JUMASA!F9-MEVOS!F9-MPM!F9-NORDESTE!F9-PRIORI!F9-RR!F9-SARANDI!F9-SERPEMA!F9-TRACSUL!F9-TRACTORBEL!F9-'JUMASA NORTE'!F9</f>
        <v>0</v>
      </c>
      <c r="E9">
        <f>Inicial!E9-CEQUIP!H9-DAMAQ!H9-JUMASA!H9-MEVOS!H9-MPM!H9-NORDESTE!H9-PRIORI!H9-RR!H9-SARANDI!H9-SERPEMA!H9-TRACSUL!H9-TRACTORBEL!H9-'JUMASA NORTE'!H9</f>
        <v>0</v>
      </c>
    </row>
    <row r="10" spans="1:5" x14ac:dyDescent="0.25">
      <c r="A10" s="2" t="s">
        <v>13</v>
      </c>
      <c r="B10" t="s">
        <v>14</v>
      </c>
      <c r="C10">
        <f>Inicial!C10-CEQUIP!D10-DAMAQ!D10-JUMASA!D10-MEVOS!D10-MPM!D10-NORDESTE!D10-PRIORI!D10-RR!D10-SARANDI!D10-SERPEMA!D10-TRACSUL!D10-TRACTORBEL!D10-'JUMASA NORTE'!D10</f>
        <v>1</v>
      </c>
      <c r="D10">
        <f>Inicial!D10-CEQUIP!F10-DAMAQ!F10-JUMASA!F10-MEVOS!F10-MPM!F10-NORDESTE!F10-PRIORI!F10-RR!F10-SARANDI!F10-SERPEMA!F10-TRACSUL!F10-TRACTORBEL!F10-'JUMASA NORTE'!F10</f>
        <v>0</v>
      </c>
      <c r="E10">
        <f>Inicial!E10-CEQUIP!H10-DAMAQ!H10-JUMASA!H10-MEVOS!H10-MPM!H10-NORDESTE!H10-PRIORI!H10-RR!H10-SARANDI!H10-SERPEMA!H10-TRACSUL!H10-TRACTORBEL!H10-'JUMASA NORTE'!H10</f>
        <v>0</v>
      </c>
    </row>
    <row r="11" spans="1:5" x14ac:dyDescent="0.25">
      <c r="A11" s="1" t="s">
        <v>13</v>
      </c>
      <c r="B11" t="s">
        <v>15</v>
      </c>
      <c r="C11">
        <f>Inicial!C11-CEQUIP!D11-DAMAQ!D11-JUMASA!D11-MEVOS!D11-MPM!D11-NORDESTE!D11-PRIORI!D11-RR!D11-SARANDI!D11-SERPEMA!D11-TRACSUL!D11-TRACTORBEL!D11-'JUMASA NORTE'!D11</f>
        <v>5</v>
      </c>
      <c r="D11">
        <f>Inicial!D11-CEQUIP!F11-DAMAQ!F11-JUMASA!F11-MEVOS!F11-MPM!F11-NORDESTE!F11-PRIORI!F11-RR!F11-SARANDI!F11-SERPEMA!F11-TRACSUL!F11-TRACTORBEL!F11-'JUMASA NORTE'!F11</f>
        <v>0</v>
      </c>
      <c r="E11">
        <f>Inicial!E11-CEQUIP!H11-DAMAQ!H11-JUMASA!H11-MEVOS!H11-MPM!H11-NORDESTE!H11-PRIORI!H11-RR!H11-SARANDI!H11-SERPEMA!H11-TRACSUL!H11-TRACTORBEL!H11-'JUMASA NORTE'!H11</f>
        <v>0</v>
      </c>
    </row>
    <row r="12" spans="1:5" x14ac:dyDescent="0.25">
      <c r="A12" s="2" t="s">
        <v>16</v>
      </c>
      <c r="B12" t="s">
        <v>17</v>
      </c>
      <c r="C12">
        <f>Inicial!C12-CEQUIP!D12-DAMAQ!D12-JUMASA!D12-MEVOS!D12-MPM!D12-NORDESTE!D12-PRIORI!D12-RR!D12-SARANDI!D12-SERPEMA!D12-TRACSUL!D12-TRACTORBEL!D12-'JUMASA NORTE'!D12</f>
        <v>10</v>
      </c>
      <c r="D12">
        <f>Inicial!D12-CEQUIP!F12-DAMAQ!F12-JUMASA!F12-MEVOS!F12-MPM!F12-NORDESTE!F12-PRIORI!F12-RR!F12-SARANDI!F12-SERPEMA!F12-TRACSUL!F12-TRACTORBEL!F12-'JUMASA NORTE'!F12</f>
        <v>18</v>
      </c>
      <c r="E12">
        <f>Inicial!E12-CEQUIP!H12-DAMAQ!H12-JUMASA!H12-MEVOS!H12-MPM!H12-NORDESTE!H12-PRIORI!H12-RR!H12-SARANDI!H12-SERPEMA!H12-TRACSUL!H12-TRACTORBEL!H12-'JUMASA NORTE'!H12</f>
        <v>18</v>
      </c>
    </row>
    <row r="13" spans="1:5" x14ac:dyDescent="0.25">
      <c r="A13" s="1" t="s">
        <v>16</v>
      </c>
      <c r="B13" t="s">
        <v>18</v>
      </c>
      <c r="C13">
        <f>Inicial!C13-CEQUIP!D13-DAMAQ!D13-JUMASA!D13-MEVOS!D13-MPM!D13-NORDESTE!D13-PRIORI!D13-RR!D13-SARANDI!D13-SERPEMA!D13-TRACSUL!D13-TRACTORBEL!D13-'JUMASA NORTE'!D13</f>
        <v>20</v>
      </c>
      <c r="D13">
        <f>Inicial!D13-CEQUIP!F13-DAMAQ!F13-JUMASA!F13-MEVOS!F13-MPM!F13-NORDESTE!F13-PRIORI!F13-RR!F13-SARANDI!F13-SERPEMA!F13-TRACSUL!F13-TRACTORBEL!F13-'JUMASA NORTE'!F13</f>
        <v>0</v>
      </c>
      <c r="E13">
        <f>Inicial!E13-CEQUIP!H13-DAMAQ!H13-JUMASA!H13-MEVOS!H13-MPM!H13-NORDESTE!H13-PRIORI!H13-RR!H13-SARANDI!H13-SERPEMA!H13-TRACSUL!H13-TRACTORBEL!H13-'JUMASA NORTE'!H13</f>
        <v>0</v>
      </c>
    </row>
    <row r="14" spans="1:5" x14ac:dyDescent="0.25">
      <c r="A14" s="2" t="s">
        <v>19</v>
      </c>
      <c r="B14" t="s">
        <v>20</v>
      </c>
      <c r="C14">
        <f>Inicial!C14-CEQUIP!D14-DAMAQ!D14-JUMASA!D14-MEVOS!D14-MPM!D14-NORDESTE!D14-PRIORI!D14-RR!D14-SARANDI!D14-SERPEMA!D14-TRACSUL!D14-TRACTORBEL!D14-'JUMASA NORTE'!D14</f>
        <v>0</v>
      </c>
      <c r="D14">
        <f>Inicial!D14-CEQUIP!F14-DAMAQ!F14-JUMASA!F14-MEVOS!F14-MPM!F14-NORDESTE!F14-PRIORI!F14-RR!F14-SARANDI!F14-SERPEMA!F14-TRACSUL!F14-TRACTORBEL!F14-'JUMASA NORTE'!F14</f>
        <v>5</v>
      </c>
      <c r="E14">
        <f>Inicial!E14-CEQUIP!H14-DAMAQ!H14-JUMASA!H14-MEVOS!H14-MPM!H14-NORDESTE!H14-PRIORI!H14-RR!H14-SARANDI!H14-SERPEMA!H14-TRACSUL!H14-TRACTORBEL!H14-'JUMASA NORTE'!H14</f>
        <v>16</v>
      </c>
    </row>
    <row r="15" spans="1:5" x14ac:dyDescent="0.25">
      <c r="A15" s="1" t="s">
        <v>19</v>
      </c>
      <c r="B15" t="s">
        <v>21</v>
      </c>
      <c r="C15">
        <f>Inicial!C15-CEQUIP!D15-DAMAQ!D15-JUMASA!D15-MEVOS!D15-MPM!D15-NORDESTE!D15-PRIORI!D15-RR!D15-SARANDI!D15-SERPEMA!D15-TRACSUL!D15-TRACTORBEL!D15-'JUMASA NORTE'!D15</f>
        <v>0</v>
      </c>
      <c r="D15">
        <f>Inicial!D15-CEQUIP!F15-DAMAQ!F15-JUMASA!F15-MEVOS!F15-MPM!F15-NORDESTE!F15-PRIORI!F15-RR!F15-SARANDI!F15-SERPEMA!F15-TRACSUL!F15-TRACTORBEL!F15-'JUMASA NORTE'!F15</f>
        <v>25</v>
      </c>
      <c r="E15">
        <f>Inicial!E15-CEQUIP!H15-DAMAQ!H15-JUMASA!H15-MEVOS!H15-MPM!H15-NORDESTE!H15-PRIORI!H15-RR!H15-SARANDI!H15-SERPEMA!H15-TRACSUL!H15-TRACTORBEL!H15-'JUMASA NORTE'!H15</f>
        <v>0</v>
      </c>
    </row>
    <row r="16" spans="1:5" x14ac:dyDescent="0.25">
      <c r="A16" s="2" t="s">
        <v>22</v>
      </c>
      <c r="B16" t="s">
        <v>23</v>
      </c>
      <c r="C16">
        <f>Inicial!C16-CEQUIP!D16-DAMAQ!D16-JUMASA!D16-MEVOS!D16-MPM!D16-NORDESTE!D16-PRIORI!D16-RR!D16-SARANDI!D16-SERPEMA!D16-TRACSUL!D16-TRACTORBEL!D16-'JUMASA NORTE'!D16</f>
        <v>1</v>
      </c>
      <c r="D16">
        <f>Inicial!D16-CEQUIP!F16-DAMAQ!F16-JUMASA!F16-MEVOS!F16-MPM!F16-NORDESTE!F16-PRIORI!F16-RR!F16-SARANDI!F16-SERPEMA!F16-TRACSUL!F16-TRACTORBEL!F16-'JUMASA NORTE'!F16</f>
        <v>0</v>
      </c>
      <c r="E16">
        <f>Inicial!E16-CEQUIP!H16-DAMAQ!H16-JUMASA!H16-MEVOS!H16-MPM!H16-NORDESTE!H16-PRIORI!H16-RR!H16-SARANDI!H16-SERPEMA!H16-TRACSUL!H16-TRACTORBEL!H16-'JUMASA NORTE'!H16</f>
        <v>42</v>
      </c>
    </row>
    <row r="17" spans="1:5" x14ac:dyDescent="0.25">
      <c r="A17" s="2" t="s">
        <v>22</v>
      </c>
      <c r="B17" t="s">
        <v>24</v>
      </c>
      <c r="C17">
        <f>Inicial!C17-CEQUIP!D17-DAMAQ!D17-JUMASA!D17-MEVOS!D17-MPM!D17-NORDESTE!D17-PRIORI!D17-RR!D17-SARANDI!D17-SERPEMA!D17-TRACSUL!D17-TRACTORBEL!D17-'JUMASA NORTE'!D17</f>
        <v>3</v>
      </c>
      <c r="D17">
        <f>Inicial!D17-CEQUIP!F17-DAMAQ!F17-JUMASA!F17-MEVOS!F17-MPM!F17-NORDESTE!F17-PRIORI!F17-RR!F17-SARANDI!F17-SERPEMA!F17-TRACSUL!F17-TRACTORBEL!F17-'JUMASA NORTE'!F17</f>
        <v>2</v>
      </c>
      <c r="E17">
        <f>Inicial!E17-CEQUIP!H17-DAMAQ!H17-JUMASA!H17-MEVOS!H17-MPM!H17-NORDESTE!H17-PRIORI!H17-RR!H17-SARANDI!H17-SERPEMA!H17-TRACSUL!H17-TRACTORBEL!H17-'JUMASA NORTE'!H17</f>
        <v>20</v>
      </c>
    </row>
    <row r="18" spans="1:5" x14ac:dyDescent="0.25">
      <c r="A18" s="2" t="s">
        <v>22</v>
      </c>
      <c r="B18" t="s">
        <v>25</v>
      </c>
      <c r="C18">
        <f>Inicial!C18-CEQUIP!D18-DAMAQ!D18-JUMASA!D18-MEVOS!D18-MPM!D18-NORDESTE!D18-PRIORI!D18-RR!D18-SARANDI!D18-SERPEMA!D18-TRACSUL!D18-TRACTORBEL!D18-'JUMASA NORTE'!D18</f>
        <v>1</v>
      </c>
      <c r="D18">
        <f>Inicial!D18-CEQUIP!F18-DAMAQ!F18-JUMASA!F18-MEVOS!F18-MPM!F18-NORDESTE!F18-PRIORI!F18-RR!F18-SARANDI!F18-SERPEMA!F18-TRACSUL!F18-TRACTORBEL!F18-'JUMASA NORTE'!F18</f>
        <v>2</v>
      </c>
      <c r="E18">
        <f>Inicial!E18-CEQUIP!H18-DAMAQ!H18-JUMASA!H18-MEVOS!H18-MPM!H18-NORDESTE!H18-PRIORI!H18-RR!H18-SARANDI!H18-SERPEMA!H18-TRACSUL!H18-TRACTORBEL!H18-'JUMASA NORTE'!H18</f>
        <v>0</v>
      </c>
    </row>
    <row r="19" spans="1:5" x14ac:dyDescent="0.25">
      <c r="A19" s="1" t="s">
        <v>22</v>
      </c>
      <c r="B19" t="s">
        <v>26</v>
      </c>
      <c r="C19">
        <f>Inicial!C19-CEQUIP!D19-DAMAQ!D19-JUMASA!D19-MEVOS!D19-MPM!D19-NORDESTE!D19-PRIORI!D19-RR!D19-SARANDI!D19-SERPEMA!D19-TRACSUL!D19-TRACTORBEL!D19-'JUMASA NORTE'!D19</f>
        <v>4</v>
      </c>
      <c r="D19">
        <f>Inicial!D19-CEQUIP!F19-DAMAQ!F19-JUMASA!F19-MEVOS!F19-MPM!F19-NORDESTE!F19-PRIORI!F19-RR!F19-SARANDI!F19-SERPEMA!F19-TRACSUL!F19-TRACTORBEL!F19-'JUMASA NORTE'!F19</f>
        <v>1</v>
      </c>
      <c r="E19">
        <f>Inicial!E19-CEQUIP!H19-DAMAQ!H19-JUMASA!H19-MEVOS!H19-MPM!H19-NORDESTE!H19-PRIORI!H19-RR!H19-SARANDI!H19-SERPEMA!H19-TRACSUL!H19-TRACTORBEL!H19-'JUMASA NORTE'!H19</f>
        <v>10</v>
      </c>
    </row>
    <row r="20" spans="1:5" x14ac:dyDescent="0.25">
      <c r="A20" s="2" t="s">
        <v>27</v>
      </c>
      <c r="B20" t="s">
        <v>28</v>
      </c>
      <c r="C20">
        <f>Inicial!C20-CEQUIP!D20-DAMAQ!D20-JUMASA!D20-MEVOS!D20-MPM!D20-NORDESTE!D20-PRIORI!D20-RR!D20-SARANDI!D20-SERPEMA!D20-TRACSUL!D20-TRACTORBEL!D20-'JUMASA NORTE'!D20</f>
        <v>6</v>
      </c>
      <c r="D20">
        <f>Inicial!D20-CEQUIP!F20-DAMAQ!F20-JUMASA!F20-MEVOS!F20-MPM!F20-NORDESTE!F20-PRIORI!F20-RR!F20-SARANDI!F20-SERPEMA!F20-TRACSUL!F20-TRACTORBEL!F20-'JUMASA NORTE'!F20</f>
        <v>6</v>
      </c>
      <c r="E20">
        <f>Inicial!E20-CEQUIP!H20-DAMAQ!H20-JUMASA!H20-MEVOS!H20-MPM!H20-NORDESTE!H20-PRIORI!H20-RR!H20-SARANDI!H20-SERPEMA!H20-TRACSUL!H20-TRACTORBEL!H20-'JUMASA NORTE'!H20</f>
        <v>26</v>
      </c>
    </row>
    <row r="21" spans="1:5" x14ac:dyDescent="0.25">
      <c r="A21" s="2" t="s">
        <v>27</v>
      </c>
      <c r="B21" t="s">
        <v>29</v>
      </c>
      <c r="C21">
        <f>Inicial!C21-CEQUIP!D21-DAMAQ!D21-JUMASA!D21-MEVOS!D21-MPM!D21-NORDESTE!D21-PRIORI!D21-RR!D21-SARANDI!D21-SERPEMA!D21-TRACSUL!D21-TRACTORBEL!D21-'JUMASA NORTE'!D21</f>
        <v>0</v>
      </c>
      <c r="D21">
        <f>Inicial!D21-CEQUIP!F21-DAMAQ!F21-JUMASA!F21-MEVOS!F21-MPM!F21-NORDESTE!F21-PRIORI!F21-RR!F21-SARANDI!F21-SERPEMA!F21-TRACSUL!F21-TRACTORBEL!F21-'JUMASA NORTE'!F21</f>
        <v>6</v>
      </c>
      <c r="E21">
        <f>Inicial!E21-CEQUIP!H21-DAMAQ!H21-JUMASA!H21-MEVOS!H21-MPM!H21-NORDESTE!H21-PRIORI!H21-RR!H21-SARANDI!H21-SERPEMA!H21-TRACSUL!H21-TRACTORBEL!H21-'JUMASA NORTE'!H21</f>
        <v>6</v>
      </c>
    </row>
    <row r="22" spans="1:5" x14ac:dyDescent="0.25">
      <c r="A22" s="1" t="s">
        <v>27</v>
      </c>
      <c r="B22" t="s">
        <v>30</v>
      </c>
      <c r="C22">
        <f>Inicial!C22-CEQUIP!D22-DAMAQ!D22-JUMASA!D22-MEVOS!D22-MPM!D22-NORDESTE!D22-PRIORI!D22-RR!D22-SARANDI!D22-SERPEMA!D22-TRACSUL!D22-TRACTORBEL!D22-'JUMASA NORTE'!D22</f>
        <v>0</v>
      </c>
      <c r="D22">
        <f>Inicial!D22-CEQUIP!F22-DAMAQ!F22-JUMASA!F22-MEVOS!F22-MPM!F22-NORDESTE!F22-PRIORI!F22-RR!F22-SARANDI!F22-SERPEMA!F22-TRACSUL!F22-TRACTORBEL!F22-'JUMASA NORTE'!F22</f>
        <v>0</v>
      </c>
      <c r="E22">
        <f>Inicial!E22-CEQUIP!H22-DAMAQ!H22-JUMASA!H22-MEVOS!H22-MPM!H22-NORDESTE!H22-PRIORI!H22-RR!H22-SARANDI!H22-SERPEMA!H22-TRACSUL!H22-TRACTORBEL!H22-'JUMASA NORTE'!H22</f>
        <v>35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335CA-1BFB-4FB1-BAD8-251948F8F659}">
  <sheetPr codeName="Planilha3"/>
  <dimension ref="A1:H22"/>
  <sheetViews>
    <sheetView workbookViewId="0">
      <selection activeCell="D3" sqref="D3"/>
    </sheetView>
  </sheetViews>
  <sheetFormatPr defaultRowHeight="15" x14ac:dyDescent="0.25"/>
  <cols>
    <col min="1" max="1" width="6.85546875" bestFit="1" customWidth="1"/>
    <col min="2" max="2" width="16.42578125" bestFit="1" customWidth="1"/>
    <col min="3" max="3" width="14.140625" bestFit="1" customWidth="1"/>
    <col min="4" max="4" width="5.7109375" style="3" bestFit="1" customWidth="1"/>
    <col min="5" max="5" width="13.140625" bestFit="1" customWidth="1"/>
    <col min="6" max="6" width="5.7109375" style="3" bestFit="1" customWidth="1"/>
    <col min="7" max="7" width="12.85546875" bestFit="1" customWidth="1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D2" s="3"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83B6F-8E36-410D-8A91-7365728FCCF3}">
  <sheetPr codeName="Planilha4"/>
  <dimension ref="A1:H22"/>
  <sheetViews>
    <sheetView workbookViewId="0">
      <selection activeCell="D4" sqref="D4"/>
    </sheetView>
  </sheetViews>
  <sheetFormatPr defaultRowHeight="15" x14ac:dyDescent="0.25"/>
  <cols>
    <col min="4" max="4" width="8.85546875" style="3"/>
    <col min="6" max="6" width="8.85546875" style="3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EA4B3-9DF4-4114-AF7C-CBC70313879F}">
  <sheetPr codeName="Planilha5"/>
  <dimension ref="A1:H22"/>
  <sheetViews>
    <sheetView workbookViewId="0">
      <selection activeCell="D5" sqref="D5"/>
    </sheetView>
  </sheetViews>
  <sheetFormatPr defaultRowHeight="15" x14ac:dyDescent="0.25"/>
  <cols>
    <col min="4" max="4" width="8.85546875" style="3"/>
    <col min="6" max="6" width="8.85546875" style="3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65AFA-AD63-49C9-ACEF-F1E923E72274}">
  <sheetPr codeName="Planilha15"/>
  <dimension ref="A1:H22"/>
  <sheetViews>
    <sheetView workbookViewId="0">
      <selection activeCell="D3" sqref="D3"/>
    </sheetView>
  </sheetViews>
  <sheetFormatPr defaultRowHeight="15" x14ac:dyDescent="0.25"/>
  <cols>
    <col min="4" max="4" width="8.85546875" style="3"/>
    <col min="6" max="6" width="8.85546875" style="3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9BB5E-3B4B-464F-B3AA-36CF6C68D2CB}">
  <sheetPr codeName="Planilha6"/>
  <dimension ref="A1:H22"/>
  <sheetViews>
    <sheetView workbookViewId="0">
      <selection activeCell="D3" sqref="D3"/>
    </sheetView>
  </sheetViews>
  <sheetFormatPr defaultRowHeight="15" x14ac:dyDescent="0.25"/>
  <cols>
    <col min="4" max="4" width="8.85546875" style="3"/>
    <col min="6" max="6" width="8.85546875" style="3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A743F-8075-4871-AAD2-69E7254649F2}">
  <sheetPr codeName="Planilha7"/>
  <dimension ref="A1:H22"/>
  <sheetViews>
    <sheetView workbookViewId="0">
      <selection activeCell="H1" activeCellId="2" sqref="D1:D1048576 F1:F1048576 H1:H1048576"/>
    </sheetView>
  </sheetViews>
  <sheetFormatPr defaultRowHeight="15" x14ac:dyDescent="0.25"/>
  <cols>
    <col min="4" max="4" width="8.85546875" style="3"/>
    <col min="6" max="6" width="8.85546875" style="3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F37DA-146B-4071-A148-6BC63CE0A0C8}">
  <sheetPr codeName="Planilha8"/>
  <dimension ref="A1:H22"/>
  <sheetViews>
    <sheetView workbookViewId="0">
      <selection activeCell="H1" activeCellId="2" sqref="D1:D1048576 F1:F1048576 H1:H1048576"/>
    </sheetView>
  </sheetViews>
  <sheetFormatPr defaultRowHeight="15" x14ac:dyDescent="0.25"/>
  <cols>
    <col min="4" max="4" width="8.85546875" style="3"/>
    <col min="6" max="6" width="8.85546875" style="3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0A78F-53F3-4092-9C7B-B3B09FE3FECA}">
  <sheetPr codeName="Planilha9"/>
  <dimension ref="A1:H22"/>
  <sheetViews>
    <sheetView workbookViewId="0">
      <selection activeCell="H1" activeCellId="2" sqref="D1:D1048576 F1:F1048576 H1:H1048576"/>
    </sheetView>
  </sheetViews>
  <sheetFormatPr defaultRowHeight="15" x14ac:dyDescent="0.25"/>
  <cols>
    <col min="4" max="4" width="8.85546875" style="3"/>
    <col min="6" max="6" width="8.85546875" style="3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C772A-F5B0-46D9-903A-761C86E09F50}">
  <sheetPr codeName="Planilha10"/>
  <dimension ref="A1:H22"/>
  <sheetViews>
    <sheetView workbookViewId="0">
      <selection activeCell="H1" activeCellId="2" sqref="D1:D1048576 F1:F1048576 H1:H1048576"/>
    </sheetView>
  </sheetViews>
  <sheetFormatPr defaultRowHeight="15" x14ac:dyDescent="0.25"/>
  <cols>
    <col min="4" max="4" width="8.85546875" style="3"/>
    <col min="6" max="6" width="8.85546875" style="3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91FC1-B719-4677-ADF1-3FB7B17B1111}">
  <sheetPr codeName="Planilha11"/>
  <dimension ref="A1:H22"/>
  <sheetViews>
    <sheetView workbookViewId="0">
      <selection activeCell="H1" activeCellId="2" sqref="D1:D1048576 F1:F1048576 H1:H1048576"/>
    </sheetView>
  </sheetViews>
  <sheetFormatPr defaultRowHeight="15" x14ac:dyDescent="0.25"/>
  <cols>
    <col min="4" max="4" width="8.85546875" style="3"/>
    <col min="6" max="6" width="8.85546875" style="3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E08C-BC8A-4DFA-B57D-FC5E4A4BB5F6}">
  <sheetPr codeName="Planilha12"/>
  <dimension ref="A1:H22"/>
  <sheetViews>
    <sheetView workbookViewId="0">
      <selection activeCell="H1" activeCellId="2" sqref="D1:D1048576 F1:F1048576 H1:H1048576"/>
    </sheetView>
  </sheetViews>
  <sheetFormatPr defaultRowHeight="15" x14ac:dyDescent="0.25"/>
  <cols>
    <col min="4" max="4" width="8.85546875" style="3"/>
    <col min="6" max="6" width="8.85546875" style="3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FDD66-1364-4854-AD59-F970E4BFE0BE}">
  <sheetPr codeName="Planilha13"/>
  <dimension ref="A1:H22"/>
  <sheetViews>
    <sheetView workbookViewId="0">
      <selection activeCell="H1" activeCellId="2" sqref="D1:D1048576 F1:F1048576 H1:H1048576"/>
    </sheetView>
  </sheetViews>
  <sheetFormatPr defaultRowHeight="15" x14ac:dyDescent="0.25"/>
  <cols>
    <col min="4" max="4" width="8.85546875" style="3"/>
    <col min="6" max="6" width="8.85546875" style="3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6759E-6065-427D-AC47-9B0533680BFD}">
  <sheetPr codeName="Planilha14"/>
  <dimension ref="A1:H22"/>
  <sheetViews>
    <sheetView workbookViewId="0">
      <selection activeCell="H1" activeCellId="2" sqref="D1:D1048576 F1:F1048576 H1:H1048576"/>
    </sheetView>
  </sheetViews>
  <sheetFormatPr defaultRowHeight="15" x14ac:dyDescent="0.25"/>
  <cols>
    <col min="4" max="4" width="8.85546875" style="3"/>
    <col min="6" max="6" width="8.85546875" style="3"/>
    <col min="8" max="8" width="8.85546875" style="3"/>
  </cols>
  <sheetData>
    <row r="1" spans="1:8" x14ac:dyDescent="0.25">
      <c r="A1" t="s">
        <v>31</v>
      </c>
      <c r="B1" t="s">
        <v>32</v>
      </c>
      <c r="C1" t="s">
        <v>36</v>
      </c>
      <c r="D1" s="3" t="s">
        <v>39</v>
      </c>
      <c r="E1" t="s">
        <v>37</v>
      </c>
      <c r="F1" s="3" t="s">
        <v>39</v>
      </c>
      <c r="G1" t="s">
        <v>38</v>
      </c>
      <c r="H1" s="3" t="s">
        <v>39</v>
      </c>
    </row>
    <row r="2" spans="1:8" x14ac:dyDescent="0.25">
      <c r="A2" s="1" t="s">
        <v>0</v>
      </c>
      <c r="B2" t="s">
        <v>1</v>
      </c>
      <c r="C2">
        <f>'Base de calculo'!C2</f>
        <v>0</v>
      </c>
      <c r="E2">
        <f>'Base de calculo'!D2</f>
        <v>8</v>
      </c>
      <c r="G2">
        <f>'Base de calculo'!E2</f>
        <v>57</v>
      </c>
    </row>
    <row r="3" spans="1:8" x14ac:dyDescent="0.25">
      <c r="A3" s="2" t="s">
        <v>2</v>
      </c>
      <c r="B3" t="s">
        <v>3</v>
      </c>
      <c r="C3">
        <f>'Base de calculo'!C3</f>
        <v>15</v>
      </c>
      <c r="E3">
        <f>'Base de calculo'!D3</f>
        <v>0</v>
      </c>
      <c r="G3">
        <f>'Base de calculo'!E3</f>
        <v>0</v>
      </c>
    </row>
    <row r="4" spans="1:8" x14ac:dyDescent="0.25">
      <c r="A4" s="1" t="s">
        <v>2</v>
      </c>
      <c r="B4" t="s">
        <v>4</v>
      </c>
      <c r="C4">
        <f>'Base de calculo'!C4</f>
        <v>39</v>
      </c>
      <c r="E4">
        <f>'Base de calculo'!D4</f>
        <v>0</v>
      </c>
      <c r="G4">
        <f>'Base de calculo'!E4</f>
        <v>0</v>
      </c>
    </row>
    <row r="5" spans="1:8" x14ac:dyDescent="0.25">
      <c r="A5" s="1" t="s">
        <v>5</v>
      </c>
      <c r="B5" t="s">
        <v>6</v>
      </c>
      <c r="C5">
        <f>'Base de calculo'!C5</f>
        <v>0</v>
      </c>
      <c r="E5">
        <f>'Base de calculo'!D5</f>
        <v>0</v>
      </c>
      <c r="G5">
        <f>'Base de calculo'!E5</f>
        <v>10</v>
      </c>
    </row>
    <row r="6" spans="1:8" x14ac:dyDescent="0.25">
      <c r="A6" s="2" t="s">
        <v>7</v>
      </c>
      <c r="B6" t="s">
        <v>8</v>
      </c>
      <c r="C6">
        <f>'Base de calculo'!C6</f>
        <v>8</v>
      </c>
      <c r="E6">
        <f>'Base de calculo'!D6</f>
        <v>0</v>
      </c>
      <c r="G6">
        <f>'Base de calculo'!E6</f>
        <v>117</v>
      </c>
    </row>
    <row r="7" spans="1:8" x14ac:dyDescent="0.25">
      <c r="A7" s="1" t="s">
        <v>7</v>
      </c>
      <c r="B7" t="s">
        <v>9</v>
      </c>
      <c r="C7">
        <f>'Base de calculo'!C7</f>
        <v>11</v>
      </c>
      <c r="E7">
        <f>'Base de calculo'!D7</f>
        <v>0</v>
      </c>
      <c r="G7">
        <f>'Base de calculo'!E7</f>
        <v>0</v>
      </c>
    </row>
    <row r="8" spans="1:8" x14ac:dyDescent="0.25">
      <c r="A8" s="2" t="s">
        <v>10</v>
      </c>
      <c r="B8" t="s">
        <v>11</v>
      </c>
      <c r="C8">
        <f>'Base de calculo'!C8</f>
        <v>9</v>
      </c>
      <c r="E8">
        <f>'Base de calculo'!D8</f>
        <v>0</v>
      </c>
      <c r="G8">
        <f>'Base de calculo'!E8</f>
        <v>0</v>
      </c>
    </row>
    <row r="9" spans="1:8" x14ac:dyDescent="0.25">
      <c r="A9" s="1" t="s">
        <v>10</v>
      </c>
      <c r="B9" t="s">
        <v>12</v>
      </c>
      <c r="C9">
        <f>'Base de calculo'!C9</f>
        <v>5</v>
      </c>
      <c r="E9">
        <f>'Base de calculo'!D9</f>
        <v>0</v>
      </c>
      <c r="G9">
        <f>'Base de calculo'!E9</f>
        <v>0</v>
      </c>
    </row>
    <row r="10" spans="1:8" x14ac:dyDescent="0.25">
      <c r="A10" s="2" t="s">
        <v>13</v>
      </c>
      <c r="B10" t="s">
        <v>14</v>
      </c>
      <c r="C10">
        <f>'Base de calculo'!C10</f>
        <v>1</v>
      </c>
      <c r="E10">
        <f>'Base de calculo'!D10</f>
        <v>0</v>
      </c>
      <c r="G10">
        <f>'Base de calculo'!E10</f>
        <v>0</v>
      </c>
    </row>
    <row r="11" spans="1:8" x14ac:dyDescent="0.25">
      <c r="A11" s="1" t="s">
        <v>13</v>
      </c>
      <c r="B11" t="s">
        <v>15</v>
      </c>
      <c r="C11">
        <f>'Base de calculo'!C11</f>
        <v>5</v>
      </c>
      <c r="E11">
        <f>'Base de calculo'!D11</f>
        <v>0</v>
      </c>
      <c r="G11">
        <f>'Base de calculo'!E11</f>
        <v>0</v>
      </c>
    </row>
    <row r="12" spans="1:8" x14ac:dyDescent="0.25">
      <c r="A12" s="2" t="s">
        <v>16</v>
      </c>
      <c r="B12" t="s">
        <v>17</v>
      </c>
      <c r="C12">
        <f>'Base de calculo'!C12</f>
        <v>10</v>
      </c>
      <c r="E12">
        <f>'Base de calculo'!D12</f>
        <v>18</v>
      </c>
      <c r="G12">
        <f>'Base de calculo'!E12</f>
        <v>18</v>
      </c>
    </row>
    <row r="13" spans="1:8" x14ac:dyDescent="0.25">
      <c r="A13" s="1" t="s">
        <v>16</v>
      </c>
      <c r="B13" t="s">
        <v>18</v>
      </c>
      <c r="C13">
        <f>'Base de calculo'!C13</f>
        <v>20</v>
      </c>
      <c r="E13">
        <f>'Base de calculo'!D13</f>
        <v>0</v>
      </c>
      <c r="G13">
        <f>'Base de calculo'!E13</f>
        <v>0</v>
      </c>
    </row>
    <row r="14" spans="1:8" x14ac:dyDescent="0.25">
      <c r="A14" s="2" t="s">
        <v>19</v>
      </c>
      <c r="B14" t="s">
        <v>20</v>
      </c>
      <c r="C14">
        <f>'Base de calculo'!C14</f>
        <v>0</v>
      </c>
      <c r="E14">
        <f>'Base de calculo'!D14</f>
        <v>5</v>
      </c>
      <c r="G14">
        <f>'Base de calculo'!E14</f>
        <v>16</v>
      </c>
    </row>
    <row r="15" spans="1:8" x14ac:dyDescent="0.25">
      <c r="A15" s="1" t="s">
        <v>19</v>
      </c>
      <c r="B15" t="s">
        <v>21</v>
      </c>
      <c r="C15">
        <f>'Base de calculo'!C15</f>
        <v>0</v>
      </c>
      <c r="E15">
        <f>'Base de calculo'!D15</f>
        <v>25</v>
      </c>
      <c r="G15">
        <f>'Base de calculo'!E15</f>
        <v>0</v>
      </c>
    </row>
    <row r="16" spans="1:8" x14ac:dyDescent="0.25">
      <c r="A16" s="2" t="s">
        <v>22</v>
      </c>
      <c r="B16" t="s">
        <v>23</v>
      </c>
      <c r="C16">
        <f>'Base de calculo'!C16</f>
        <v>1</v>
      </c>
      <c r="E16">
        <f>'Base de calculo'!D16</f>
        <v>0</v>
      </c>
      <c r="G16">
        <f>'Base de calculo'!E16</f>
        <v>42</v>
      </c>
    </row>
    <row r="17" spans="1:7" x14ac:dyDescent="0.25">
      <c r="A17" s="2" t="s">
        <v>22</v>
      </c>
      <c r="B17" t="s">
        <v>24</v>
      </c>
      <c r="C17">
        <f>'Base de calculo'!C17</f>
        <v>3</v>
      </c>
      <c r="E17">
        <f>'Base de calculo'!D17</f>
        <v>2</v>
      </c>
      <c r="G17">
        <f>'Base de calculo'!E17</f>
        <v>20</v>
      </c>
    </row>
    <row r="18" spans="1:7" x14ac:dyDescent="0.25">
      <c r="A18" s="2" t="s">
        <v>22</v>
      </c>
      <c r="B18" t="s">
        <v>25</v>
      </c>
      <c r="C18">
        <f>'Base de calculo'!C18</f>
        <v>1</v>
      </c>
      <c r="E18">
        <f>'Base de calculo'!D18</f>
        <v>2</v>
      </c>
      <c r="G18">
        <f>'Base de calculo'!E18</f>
        <v>0</v>
      </c>
    </row>
    <row r="19" spans="1:7" x14ac:dyDescent="0.25">
      <c r="A19" s="1" t="s">
        <v>22</v>
      </c>
      <c r="B19" t="s">
        <v>26</v>
      </c>
      <c r="C19">
        <f>'Base de calculo'!C19</f>
        <v>4</v>
      </c>
      <c r="E19">
        <f>'Base de calculo'!D19</f>
        <v>1</v>
      </c>
      <c r="G19">
        <f>'Base de calculo'!E19</f>
        <v>10</v>
      </c>
    </row>
    <row r="20" spans="1:7" x14ac:dyDescent="0.25">
      <c r="A20" s="2" t="s">
        <v>27</v>
      </c>
      <c r="B20" t="s">
        <v>28</v>
      </c>
      <c r="C20">
        <f>'Base de calculo'!C20</f>
        <v>6</v>
      </c>
      <c r="E20">
        <f>'Base de calculo'!D20</f>
        <v>6</v>
      </c>
      <c r="G20">
        <f>'Base de calculo'!E20</f>
        <v>26</v>
      </c>
    </row>
    <row r="21" spans="1:7" x14ac:dyDescent="0.25">
      <c r="A21" s="2" t="s">
        <v>27</v>
      </c>
      <c r="B21" t="s">
        <v>29</v>
      </c>
      <c r="C21">
        <f>'Base de calculo'!C21</f>
        <v>0</v>
      </c>
      <c r="E21">
        <f>'Base de calculo'!D21</f>
        <v>6</v>
      </c>
      <c r="G21">
        <f>'Base de calculo'!E21</f>
        <v>6</v>
      </c>
    </row>
    <row r="22" spans="1:7" x14ac:dyDescent="0.25">
      <c r="A22" s="1" t="s">
        <v>27</v>
      </c>
      <c r="B22" t="s">
        <v>30</v>
      </c>
      <c r="C22">
        <f>'Base de calculo'!C22</f>
        <v>0</v>
      </c>
      <c r="E22">
        <f>'Base de calculo'!D22</f>
        <v>0</v>
      </c>
      <c r="G22">
        <f>'Base de calculo'!E22</f>
        <v>35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Inicial</vt:lpstr>
      <vt:lpstr>Base de calculo</vt:lpstr>
      <vt:lpstr>CEQUIP</vt:lpstr>
      <vt:lpstr>DAMAQ</vt:lpstr>
      <vt:lpstr>JUMASA</vt:lpstr>
      <vt:lpstr>JUMASA NORTE</vt:lpstr>
      <vt:lpstr>MEVOS</vt:lpstr>
      <vt:lpstr>MPM</vt:lpstr>
      <vt:lpstr>NORDESTE</vt:lpstr>
      <vt:lpstr>PRIORI</vt:lpstr>
      <vt:lpstr>RR</vt:lpstr>
      <vt:lpstr>SARANDI</vt:lpstr>
      <vt:lpstr>SERPEMA</vt:lpstr>
      <vt:lpstr>TRACSUL</vt:lpstr>
      <vt:lpstr>TRACTORBEL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Caua Vinicius Silva Santos</dc:creator>
  <cp:lastModifiedBy>Henrique Prado Giordano</cp:lastModifiedBy>
  <dcterms:created xsi:type="dcterms:W3CDTF">2026-04-23T17:40:03Z</dcterms:created>
  <dcterms:modified xsi:type="dcterms:W3CDTF">2026-04-24T11:34:14Z</dcterms:modified>
</cp:coreProperties>
</file>